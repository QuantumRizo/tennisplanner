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visibility="visible" minimized="0" showHorizontalScroll="1" showVerticalScroll="1" showSheetTabs="1" tabRatio="600" firstSheet="0" activeTab="0" autoFilterDateGrouping="1"/>
  </bookViews>
  <sheets>
    <sheet name="Session 1" sheetId="1" state="visible" r:id="rId5"/>
    <sheet name="Session 2" sheetId="2" state="visible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/>
</file>

<file path=xl/sharedStrings.xml><?xml version="1.0" encoding="utf-8"?>
<sst xmlns="http://schemas.openxmlformats.org/spreadsheetml/2006/main">
  <si>
    <t>PRIVATE TENNIS LESSONS 
SESSION 1 2026</t>
  </si>
  <si>
    <t>#</t>
  </si>
  <si>
    <t>Bunk</t>
  </si>
  <si>
    <t>Head Counselor</t>
  </si>
  <si>
    <t>Last Name</t>
  </si>
  <si>
    <t>First Name</t>
  </si>
  <si>
    <t>Age</t>
  </si>
  <si>
    <t>session</t>
  </si>
  <si>
    <t>Skill Level</t>
  </si>
  <si>
    <t>Minor Availability</t>
  </si>
  <si>
    <t>T-TennisMemo</t>
  </si>
  <si>
    <t>Session 1 Lessons TOTAL</t>
  </si>
  <si>
    <t>Lessons Left</t>
  </si>
  <si>
    <t>Programming Notes</t>
  </si>
  <si>
    <t>Refund Amount</t>
  </si>
  <si>
    <t>Refund Check # or Clover</t>
  </si>
  <si>
    <t>B01A</t>
  </si>
  <si>
    <t>Nate</t>
  </si>
  <si>
    <t>Liu</t>
  </si>
  <si>
    <t>Harrison</t>
  </si>
  <si>
    <t>S1</t>
  </si>
  <si>
    <t>Intermediate</t>
  </si>
  <si>
    <t>ALL</t>
  </si>
  <si>
    <t>Harrison takes weekly private lessons in addition to weekly tennis group clinic at home.</t>
  </si>
  <si>
    <t>B06B</t>
  </si>
  <si>
    <t>Jake</t>
  </si>
  <si>
    <t>Miller</t>
  </si>
  <si>
    <t>Elliot</t>
  </si>
  <si>
    <t>S1&amp;2</t>
  </si>
  <si>
    <t>M1, M2</t>
  </si>
  <si>
    <t>S1 = 3h
s2= 3h</t>
  </si>
  <si>
    <t>P</t>
  </si>
  <si>
    <t>BJL3</t>
  </si>
  <si>
    <t>Aiman-Smith</t>
  </si>
  <si>
    <t>Alessandro Del Lucchese</t>
  </si>
  <si>
    <t>Beg/Int</t>
  </si>
  <si>
    <t>M1, M3</t>
  </si>
  <si>
    <t>NS</t>
  </si>
  <si>
    <t>G02A</t>
  </si>
  <si>
    <t>Harlee</t>
  </si>
  <si>
    <t>Rakusa</t>
  </si>
  <si>
    <t>Sofiia</t>
  </si>
  <si>
    <t>S1&amp;3</t>
  </si>
  <si>
    <t>Beginner</t>
  </si>
  <si>
    <t>M2</t>
  </si>
  <si>
    <t>five</t>
  </si>
  <si>
    <t>G05A</t>
  </si>
  <si>
    <t>Kirsten</t>
  </si>
  <si>
    <t>Merriam</t>
  </si>
  <si>
    <t>Vivianne</t>
  </si>
  <si>
    <t>M2, M3</t>
  </si>
  <si>
    <t>three</t>
  </si>
  <si>
    <t>G11B</t>
  </si>
  <si>
    <t>Cara</t>
  </si>
  <si>
    <t>Conley</t>
  </si>
  <si>
    <t>Micaela</t>
  </si>
  <si>
    <t>M1</t>
  </si>
  <si>
    <t>Three lessons total...one per week.</t>
  </si>
  <si>
    <t>two</t>
  </si>
  <si>
    <t>G19B</t>
  </si>
  <si>
    <t>Hannah</t>
  </si>
  <si>
    <t>Hudson</t>
  </si>
  <si>
    <t>Corinne</t>
  </si>
  <si>
    <t>GJL4</t>
  </si>
  <si>
    <t>Katie</t>
  </si>
  <si>
    <t>Keller</t>
  </si>
  <si>
    <t>Isabel</t>
  </si>
  <si>
    <t>Brooks</t>
  </si>
  <si>
    <t>TOTALS</t>
  </si>
  <si>
    <t>THE CAMPER DIDN'T SHOW UP FOR THE LESSON TOTAL:</t>
  </si>
  <si>
    <t>LESSONS CANCELED DUE TO RAIN TOTAL:</t>
  </si>
  <si>
    <t>PRIVATE TENNIS LESSONS 
SESSION 2 2026</t>
  </si>
  <si>
    <t>Session 2 Lessons TOTAL</t>
  </si>
  <si>
    <t>oder session hours</t>
  </si>
  <si>
    <t>27-Jun</t>
  </si>
  <si>
    <t>28 -Jun</t>
  </si>
  <si>
    <t>29 -Jun</t>
  </si>
  <si>
    <t>1 -July</t>
  </si>
  <si>
    <t>2 -July</t>
  </si>
  <si>
    <t>3 -July</t>
  </si>
  <si>
    <t>4 -July</t>
  </si>
  <si>
    <t>5 -July</t>
  </si>
  <si>
    <t>7 -July</t>
  </si>
  <si>
    <t>8 -July</t>
  </si>
  <si>
    <t>9 -July</t>
  </si>
  <si>
    <t>10 -July</t>
  </si>
  <si>
    <t>11 -July</t>
  </si>
  <si>
    <t>12 -July</t>
  </si>
  <si>
    <t>B02B</t>
  </si>
  <si>
    <t>Nathaniel</t>
  </si>
  <si>
    <t>Berube</t>
  </si>
  <si>
    <t>Sebastian</t>
  </si>
  <si>
    <t>S2&amp;3</t>
  </si>
  <si>
    <t>OLGA COACH</t>
  </si>
  <si>
    <t>4 lessons per week, please. He enjoys tennis. We hope he will build confidence and skills</t>
  </si>
  <si>
    <t>G04B</t>
  </si>
  <si>
    <t>Jessica</t>
  </si>
  <si>
    <t>Blake</t>
  </si>
  <si>
    <t>Stella</t>
  </si>
  <si>
    <t>S2</t>
  </si>
  <si>
    <t>G05B</t>
  </si>
  <si>
    <t>Cantrell</t>
  </si>
  <si>
    <t>Annabel</t>
  </si>
  <si>
    <t>Int/Adv</t>
  </si>
  <si>
    <t>B08B</t>
  </si>
  <si>
    <t>Marc</t>
  </si>
  <si>
    <t>Davidson</t>
  </si>
  <si>
    <t>Graham</t>
  </si>
  <si>
    <t>Feit</t>
  </si>
  <si>
    <t>Milana</t>
  </si>
  <si>
    <t>Fisher</t>
  </si>
  <si>
    <t>Clayson</t>
  </si>
  <si>
    <t>Sessions 2  3 &amp; 4</t>
  </si>
  <si>
    <t>B02A</t>
  </si>
  <si>
    <t>Halpern</t>
  </si>
  <si>
    <t>G13A</t>
  </si>
  <si>
    <t>Hemlock</t>
  </si>
  <si>
    <t>Penny Lane</t>
  </si>
  <si>
    <t>Isabella really wants to try to play tennis although she has very little experience in that sport</t>
  </si>
  <si>
    <t>G17A</t>
  </si>
  <si>
    <t>Hsiao-Koeppel</t>
  </si>
  <si>
    <t>Isabella</t>
  </si>
  <si>
    <t>Maddie is a type one diabetic. Her blood sugar should be higher to okay</t>
  </si>
  <si>
    <t>G18A</t>
  </si>
  <si>
    <t>Karitis</t>
  </si>
  <si>
    <t>Madeline</t>
  </si>
  <si>
    <t>G16B</t>
  </si>
  <si>
    <t>Savannah</t>
  </si>
  <si>
    <t>Kolodny</t>
  </si>
  <si>
    <t>She has been playing for a couple of years and will be joining group clinics when she returns from camp so I'd like her to stay in practice. She uses green dot balls.</t>
  </si>
  <si>
    <t>G01A</t>
  </si>
  <si>
    <t>Krohn</t>
  </si>
  <si>
    <t>Genevieve</t>
  </si>
  <si>
    <t>Session 2</t>
  </si>
  <si>
    <t>2 times per week would be great. She is pretty much a beginner.</t>
  </si>
  <si>
    <t>G06A</t>
  </si>
  <si>
    <t>Lee</t>
  </si>
  <si>
    <t>Siena</t>
  </si>
  <si>
    <t>Kai has only played pickleball a few times, would love to try it out!</t>
  </si>
  <si>
    <t>B03B</t>
  </si>
  <si>
    <t>Justyn</t>
  </si>
  <si>
    <t>Meadows</t>
  </si>
  <si>
    <t>Kai</t>
  </si>
  <si>
    <t>G12A</t>
  </si>
  <si>
    <t>Cara </t>
  </si>
  <si>
    <t>Mei</t>
  </si>
  <si>
    <t>Yiling</t>
  </si>
  <si>
    <t>G12B</t>
  </si>
  <si>
    <t>Mesa</t>
  </si>
  <si>
    <t>GSL1</t>
  </si>
  <si>
    <t>Claudia</t>
  </si>
  <si>
    <t>Moore</t>
  </si>
  <si>
    <t>Eva</t>
  </si>
  <si>
    <t>Northcott</t>
  </si>
  <si>
    <t>Grey</t>
  </si>
  <si>
    <t>Sport Time ( Mamaroneck )</t>
  </si>
  <si>
    <t>GJL5</t>
  </si>
  <si>
    <t>Sophie</t>
  </si>
  <si>
    <t>Rudd</t>
  </si>
  <si>
    <t>Brianna</t>
  </si>
  <si>
    <t>B04A</t>
  </si>
  <si>
    <t>Sachs</t>
  </si>
  <si>
    <t>Noah</t>
  </si>
  <si>
    <t>she played in school in the states, but hasn't had a chance to play in about a year</t>
  </si>
  <si>
    <t>BSL2</t>
  </si>
  <si>
    <t>Josh</t>
  </si>
  <si>
    <t>Yankelowitz</t>
  </si>
  <si>
    <t>Paid with sister</t>
  </si>
  <si>
    <t>Young</t>
  </si>
  <si>
    <t>Arden</t>
  </si>
  <si>
    <t>GJL1</t>
  </si>
  <si>
    <t>Emerson</t>
  </si>
</sst>
</file>

<file path=xl/styles.xml><?xml version="1.0" encoding="utf-8"?>
<styleSheet xmlns="http://schemas.openxmlformats.org/spreadsheetml/2006/main">
  <numFmts count="2">
    <numFmt numFmtId="165" formatCode="[$$]#,##0.00;[RED]-[$$]#,##0.00"/>
    <numFmt numFmtId="164" formatCode="#,##0.0"/>
  </numFmts>
  <fonts count="63">
    <font>
      <name val="Arial"/>
      <sz val="10"/>
      <scheme val="minor"/>
    </font>
    <font>
      <sz val="9"/>
    </font>
    <font>
      <b val="1"/>
      <sz val="10"/>
      <color rgb="FF000000"/>
    </font>
    <font>
      <sz val="10"/>
    </font>
    <font>
      <b val="1"/>
      <sz val="12"/>
      <color rgb="FF000000"/>
    </font>
    <font>
      <sz val="12"/>
      <color rgb="FF000000"/>
    </font>
    <font>
      <sz val="12"/>
    </font>
    <font>
      <b val="1"/>
      <sz val="14"/>
      <color rgb="FF000000"/>
    </font>
    <font>
      <sz val="14"/>
      <color rgb="FF000000"/>
    </font>
    <font>
      <name val="Arial"/>
      <b val="1"/>
      <sz val="14"/>
      <color rgb="FF000000"/>
    </font>
    <font>
      <b val="1"/>
      <sz val="14"/>
    </font>
    <font>
      <sz val="14"/>
    </font>
    <font>
      <name val="Helvetica"/>
      <sz val="14"/>
    </font>
    <font>
      <b val="1"/>
      <sz val="16"/>
      <color rgb="FF000000"/>
    </font>
    <font>
      <sz val="16"/>
    </font>
    <font>
      <b val="1"/>
      <sz val="36"/>
      <color rgb="FF000000"/>
    </font>
    <font>
      <sz val="36"/>
    </font>
    <font>
      <name val="Arial"/>
      <b val="1"/>
      <sz val="16"/>
      <color rgb="FF000000"/>
    </font>
    <font>
      <sz val="16"/>
      <color rgb="FF000000"/>
    </font>
    <font>
      <b val="1"/>
      <strike val="1"/>
      <sz val="14"/>
      <u val="single"/>
      <color rgb="FF000000"/>
    </font>
    <font>
      <strike val="1"/>
      <sz val="14"/>
      <u val="single"/>
      <color rgb="FF000000"/>
    </font>
    <font>
      <name val="Arial"/>
      <b val="1"/>
      <strike val="1"/>
      <sz val="16"/>
      <u val="single"/>
      <color rgb="FF000000"/>
    </font>
    <font>
      <strike val="1"/>
      <sz val="16"/>
      <u val="single"/>
      <color rgb="FF000000"/>
    </font>
    <font>
      <strike val="1"/>
      <sz val="12"/>
      <u val="single"/>
      <color rgb="FF000000"/>
    </font>
    <font>
      <b val="1"/>
      <strike val="1"/>
      <sz val="14"/>
      <u val="single"/>
    </font>
    <font>
      <name val="Helvetica"/>
      <strike val="1"/>
      <sz val="14"/>
      <u val="single"/>
    </font>
    <font>
      <strike val="1"/>
      <sz val="14"/>
      <u val="single"/>
    </font>
    <font>
      <sz val="14"/>
      <u val="single"/>
    </font>
    <font>
      <b val="1"/>
      <strike val="1"/>
      <sz val="14"/>
      <color rgb="FF000000"/>
    </font>
    <font>
      <strike val="1"/>
      <sz val="14"/>
      <color rgb="FF000000"/>
    </font>
    <font>
      <name val="Arial"/>
      <b val="1"/>
      <strike val="1"/>
      <sz val="16"/>
      <color rgb="FF000000"/>
    </font>
    <font>
      <strike val="1"/>
      <sz val="16"/>
      <color rgb="FF000000"/>
    </font>
    <font>
      <strike val="1"/>
      <sz val="12"/>
      <color rgb="FF000000"/>
    </font>
    <font>
      <b val="1"/>
      <strike val="1"/>
      <sz val="14"/>
    </font>
    <font>
      <name val="Helvetica"/>
      <strike val="1"/>
      <sz val="14"/>
    </font>
    <font>
      <strike val="1"/>
      <sz val="14"/>
    </font>
    <font>
      <b val="1"/>
      <sz val="14"/>
      <color rgb="FF000000"/>
    </font>
    <font>
      <sz val="14"/>
      <color rgb="FF000000"/>
    </font>
    <font>
      <b val="1"/>
      <sz val="14"/>
    </font>
    <font>
      <sz val="14"/>
    </font>
    <font>
      <name val="Helvetica"/>
      <sz val="14"/>
    </font>
    <font>
      <sz val="24"/>
      <color rgb="FF000000"/>
    </font>
    <font>
      <sz val="16"/>
      <color rgb="FF000000"/>
    </font>
    <font>
      <sz val="14"/>
      <color rgb="FF000000"/>
    </font>
    <font>
      <sz val="12"/>
      <color rgb="FF000000"/>
    </font>
    <font>
      <name val="Helvetica"/>
      <sz val="12"/>
    </font>
    <font>
      <sz val="9"/>
      <color rgb="FF000000"/>
    </font>
    <font>
      <sz val="10"/>
      <color rgb="FF000000"/>
    </font>
    <font>
      <b val="1"/>
      <sz val="10"/>
    </font>
    <font>
      <b val="1"/>
      <sz val="16"/>
    </font>
    <font>
      <b val="1"/>
      <sz val="10"/>
    </font>
    <font>
      <b val="1"/>
      <strike val="1"/>
      <sz val="16"/>
    </font>
    <font>
      <b val="1"/>
      <strike val="1"/>
      <sz val="16"/>
      <u val="single"/>
    </font>
    <font>
      <b val="1"/>
      <sz val="18"/>
      <color rgb="FF7B8187"/>
    </font>
    <font>
      <sz val="13"/>
      <color rgb="FF000000"/>
    </font>
    <font>
      <b val="1"/>
      <strike val="1"/>
      <sz val="14"/>
      <color rgb="FF000000"/>
    </font>
    <font>
      <strike val="1"/>
      <sz val="14"/>
      <color rgb="FF000000"/>
    </font>
    <font>
      <name val="Arial"/>
      <b val="1"/>
      <strike val="1"/>
      <sz val="16"/>
      <color rgb="FF000000"/>
    </font>
    <font>
      <strike val="1"/>
      <sz val="16"/>
      <color rgb="FF000000"/>
    </font>
    <font>
      <strike val="1"/>
      <sz val="12"/>
      <color rgb="FF000000"/>
    </font>
    <font>
      <b val="1"/>
      <strike val="1"/>
      <sz val="14"/>
    </font>
    <font>
      <strike val="1"/>
      <sz val="14"/>
    </font>
    <font>
      <b val="1"/>
      <strike val="1"/>
      <sz val="16"/>
    </font>
  </fonts>
  <fills count="10">
    <fill>
      <patternFill/>
    </fill>
    <fill>
      <patternFill patternType="gray125"/>
    </fill>
    <fill>
      <patternFill patternType="solid">
        <fgColor rgb="FFAEAAAA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000000"/>
      </patternFill>
    </fill>
    <fill>
      <patternFill patternType="solid">
        <fgColor rgb="FFD0D4D9"/>
      </patternFill>
    </fill>
    <fill>
      <patternFill patternType="solid">
        <fgColor rgb="FFFFFFFF"/>
      </patternFill>
    </fill>
    <fill>
      <patternFill patternType="solid">
        <fgColor rgb="FFD0D4D9"/>
      </patternFill>
    </fill>
    <fill>
      <patternFill patternType="solid">
        <fgColor rgb="FFE6EBF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3">
    <xf numFmtId="0" fontId="0" fillId="0" borderId="0" quotePrefix="0" xfId="0" applyAlignment="0"/>
    <xf numFmtId="0" fontId="2" fillId="2" borderId="3" quotePrefix="0" xfId="0" applyAlignment="1">
      <alignment horizontal="center" vertical="center" wrapText="1"/>
    </xf>
    <xf numFmtId="0" fontId="2" fillId="2" borderId="3" quotePrefix="0" xfId="0" applyAlignment="1">
      <alignment horizontal="left" vertical="center" wrapText="1"/>
    </xf>
    <xf numFmtId="0" fontId="2" fillId="2" borderId="2" quotePrefix="0" xfId="0" applyAlignment="1">
      <alignment horizontal="center" vertical="center" wrapText="1"/>
    </xf>
    <xf numFmtId="0" fontId="3" fillId="5" borderId="1" quotePrefix="0" xfId="0" applyAlignment="1">
      <alignment vertical="center" wrapText="1"/>
    </xf>
    <xf numFmtId="0" fontId="3" fillId="0" borderId="0" quotePrefix="0" xfId="0" applyAlignment="1">
      <alignment vertical="center" wrapText="1"/>
    </xf>
    <xf numFmtId="0" fontId="2" fillId="0" borderId="3" quotePrefix="0" xfId="0" applyAlignment="1">
      <alignment horizontal="left" vertical="center" wrapText="1"/>
    </xf>
    <xf numFmtId="0" fontId="3" fillId="5" borderId="0" quotePrefix="0" xfId="0" applyAlignment="1">
      <alignment vertical="center" wrapText="1"/>
    </xf>
    <xf numFmtId="0" fontId="1" fillId="7" borderId="0" quotePrefix="0" xfId="0" applyAlignment="0"/>
    <xf numFmtId="0" fontId="0" fillId="7" borderId="0" quotePrefix="0" xfId="0" applyAlignment="0"/>
    <xf numFmtId="0" fontId="3" fillId="7" borderId="0" quotePrefix="0" xfId="0" applyAlignment="0"/>
    <xf numFmtId="0" fontId="5" fillId="0" borderId="3" quotePrefix="0" xfId="0" applyAlignment="1">
      <alignment vertical="center" wrapText="1"/>
    </xf>
    <xf numFmtId="0" fontId="7" fillId="3" borderId="2" quotePrefix="0" xfId="0" applyAlignment="1">
      <alignment horizontal="center" vertical="center" wrapText="1"/>
    </xf>
    <xf numFmtId="0" fontId="8" fillId="0" borderId="3" quotePrefix="0" xfId="0" applyAlignment="1">
      <alignment vertical="center" wrapText="1"/>
    </xf>
    <xf numFmtId="0" fontId="9" fillId="0" borderId="3" quotePrefix="0" xfId="0" applyAlignment="1">
      <alignment horizontal="left" vertical="center" wrapText="1"/>
    </xf>
    <xf numFmtId="0" fontId="8" fillId="0" borderId="3" quotePrefix="0" xfId="0" applyAlignment="1">
      <alignment horizontal="right" vertical="center" wrapText="1"/>
    </xf>
    <xf numFmtId="0" fontId="10" fillId="0" borderId="3" quotePrefix="0" xfId="0" applyAlignment="1">
      <alignment horizontal="center" vertical="center" wrapText="1"/>
    </xf>
    <xf numFmtId="0" fontId="8" fillId="6" borderId="3" quotePrefix="0" xfId="0" applyAlignment="1">
      <alignment horizontal="right" vertical="center" wrapText="1"/>
    </xf>
    <xf numFmtId="0" fontId="11" fillId="0" borderId="3" quotePrefix="0" xfId="0" applyAlignment="1">
      <alignment vertical="center" wrapText="1"/>
    </xf>
    <xf numFmtId="0" fontId="12" fillId="0" borderId="3" quotePrefix="0" xfId="0" applyAlignment="1">
      <alignment vertical="center" wrapText="1"/>
    </xf>
    <xf numFmtId="0" fontId="11" fillId="7" borderId="0" quotePrefix="0" xfId="0" applyAlignment="0"/>
    <xf numFmtId="0" fontId="6" fillId="0" borderId="0" quotePrefix="0" xfId="0" applyAlignment="0"/>
    <xf numFmtId="0" fontId="14" fillId="0" borderId="0" quotePrefix="0" xfId="0" applyAlignment="0"/>
    <xf numFmtId="0" fontId="4" fillId="4" borderId="0" quotePrefix="0" xfId="0" applyAlignment="1">
      <alignment horizontal="right" vertical="center" wrapText="1"/>
    </xf>
    <xf numFmtId="0" fontId="4" fillId="4" borderId="0" quotePrefix="0" xfId="0" applyAlignment="1">
      <alignment horizontal="center" vertical="center" wrapText="1"/>
    </xf>
    <xf numFmtId="0" fontId="16" fillId="7" borderId="0" quotePrefix="0" xfId="0" applyAlignment="0"/>
    <xf numFmtId="0" fontId="8" fillId="0" borderId="3" quotePrefix="0" xfId="0" applyAlignment="1">
      <alignment horizontal="center" vertical="center" wrapText="1"/>
    </xf>
    <xf numFmtId="0" fontId="17" fillId="0" borderId="3" quotePrefix="0" xfId="0" applyAlignment="1">
      <alignment horizontal="left" vertical="center" wrapText="1"/>
    </xf>
    <xf numFmtId="0" fontId="18" fillId="0" borderId="3" quotePrefix="0" xfId="0" applyAlignment="1">
      <alignment vertical="center" wrapText="1"/>
    </xf>
    <xf numFmtId="16" fontId="7" fillId="2" borderId="3" quotePrefix="0" xfId="0" applyAlignment="1">
      <alignment horizontal="center" vertical="center" wrapText="1"/>
    </xf>
    <xf numFmtId="0" fontId="15" fillId="0" borderId="4" quotePrefix="0" xfId="0" applyAlignment="1">
      <alignment horizontal="center" vertical="center" wrapText="1"/>
    </xf>
    <xf numFmtId="0" fontId="13" fillId="0" borderId="2" quotePrefix="0" xfId="0" applyAlignment="1">
      <alignment horizontal="right" vertical="center" wrapText="1"/>
    </xf>
    <xf numFmtId="0" fontId="13" fillId="4" borderId="3" quotePrefix="0" xfId="0" applyAlignment="1">
      <alignment horizontal="center" vertical="center" wrapText="1"/>
    </xf>
    <xf numFmtId="0" fontId="14" fillId="0" borderId="0" quotePrefix="0" xfId="0" applyAlignment="1">
      <alignment vertical="center" wrapText="1"/>
    </xf>
    <xf numFmtId="0" fontId="14" fillId="7" borderId="0" quotePrefix="0" xfId="0" applyAlignment="0"/>
    <xf numFmtId="0" fontId="19" fillId="3" borderId="2" quotePrefix="0" xfId="0" applyAlignment="1">
      <alignment horizontal="center" vertical="center" wrapText="1"/>
    </xf>
    <xf numFmtId="0" fontId="20" fillId="0" borderId="3" quotePrefix="0" xfId="0" applyAlignment="1">
      <alignment vertical="center" wrapText="1"/>
    </xf>
    <xf numFmtId="0" fontId="21" fillId="0" borderId="3" quotePrefix="0" xfId="0" applyAlignment="1">
      <alignment horizontal="left" vertical="center" wrapText="1"/>
    </xf>
    <xf numFmtId="0" fontId="22" fillId="0" borderId="3" quotePrefix="0" xfId="0" applyAlignment="1">
      <alignment vertical="center" wrapText="1"/>
    </xf>
    <xf numFmtId="0" fontId="20" fillId="0" borderId="3" quotePrefix="0" xfId="0" applyAlignment="1">
      <alignment horizontal="right" vertical="center" wrapText="1"/>
    </xf>
    <xf numFmtId="0" fontId="20" fillId="0" borderId="3" quotePrefix="0" xfId="0" applyAlignment="1">
      <alignment horizontal="center" vertical="center" wrapText="1"/>
    </xf>
    <xf numFmtId="0" fontId="23" fillId="0" borderId="3" quotePrefix="0" xfId="0" applyAlignment="1">
      <alignment vertical="center" wrapText="1"/>
    </xf>
    <xf numFmtId="0" fontId="24" fillId="0" borderId="3" quotePrefix="0" xfId="0" applyAlignment="1">
      <alignment horizontal="center" vertical="center" wrapText="1"/>
    </xf>
    <xf numFmtId="0" fontId="25" fillId="0" borderId="3" quotePrefix="0" xfId="0" applyAlignment="1">
      <alignment vertical="center" wrapText="1"/>
    </xf>
    <xf numFmtId="0" fontId="26" fillId="0" borderId="3" quotePrefix="0" xfId="0" applyAlignment="1">
      <alignment vertical="center" wrapText="1"/>
    </xf>
    <xf numFmtId="0" fontId="26" fillId="7" borderId="0" quotePrefix="0" xfId="0" applyAlignment="0"/>
    <xf numFmtId="0" fontId="27" fillId="0" borderId="3" quotePrefix="0" xfId="0" applyAlignment="1">
      <alignment vertical="center" wrapText="1"/>
    </xf>
    <xf numFmtId="0" fontId="28" fillId="3" borderId="2" quotePrefix="0" xfId="0" applyAlignment="1">
      <alignment horizontal="center" vertical="center" wrapText="1"/>
    </xf>
    <xf numFmtId="0" fontId="29" fillId="0" borderId="3" quotePrefix="0" xfId="0" applyAlignment="1">
      <alignment vertical="center" wrapText="1"/>
    </xf>
    <xf numFmtId="0" fontId="30" fillId="0" borderId="3" quotePrefix="0" xfId="0" applyAlignment="1">
      <alignment horizontal="left" vertical="center" wrapText="1"/>
    </xf>
    <xf numFmtId="0" fontId="31" fillId="0" borderId="3" quotePrefix="0" xfId="0" applyAlignment="1">
      <alignment vertical="center" wrapText="1"/>
    </xf>
    <xf numFmtId="0" fontId="29" fillId="0" borderId="3" quotePrefix="0" xfId="0" applyAlignment="1">
      <alignment horizontal="right" vertical="center" wrapText="1"/>
    </xf>
    <xf numFmtId="0" fontId="29" fillId="0" borderId="3" quotePrefix="0" xfId="0" applyAlignment="1">
      <alignment horizontal="center" vertical="center" wrapText="1"/>
    </xf>
    <xf numFmtId="0" fontId="32" fillId="0" borderId="3" quotePrefix="0" xfId="0" applyAlignment="1">
      <alignment vertical="center" wrapText="1"/>
    </xf>
    <xf numFmtId="0" fontId="33" fillId="0" borderId="3" quotePrefix="0" xfId="0" applyAlignment="1">
      <alignment horizontal="center" vertical="center" wrapText="1"/>
    </xf>
    <xf numFmtId="0" fontId="34" fillId="0" borderId="3" quotePrefix="0" xfId="0" applyAlignment="1">
      <alignment vertical="center" wrapText="1"/>
    </xf>
    <xf numFmtId="0" fontId="29" fillId="6" borderId="3" quotePrefix="0" xfId="0" applyAlignment="1">
      <alignment horizontal="right" vertical="center" wrapText="1"/>
    </xf>
    <xf numFmtId="0" fontId="35" fillId="0" borderId="3" quotePrefix="0" xfId="0" applyAlignment="1">
      <alignment vertical="center" wrapText="1"/>
    </xf>
    <xf numFmtId="0" fontId="35" fillId="7" borderId="0" quotePrefix="0" xfId="0" applyAlignment="0"/>
    <xf numFmtId="0" fontId="10" fillId="0" borderId="3" quotePrefix="0" xfId="0" applyAlignment="1">
      <alignment vertical="center" wrapText="1"/>
    </xf>
    <xf numFmtId="0" fontId="7" fillId="2" borderId="3" quotePrefix="0" xfId="0" applyAlignment="1">
      <alignment horizontal="center" vertical="center" wrapText="1"/>
    </xf>
    <xf numFmtId="0" fontId="36" fillId="3" borderId="2" quotePrefix="0" xfId="0" applyAlignment="1">
      <alignment horizontal="center" vertical="center" wrapText="1"/>
    </xf>
    <xf numFmtId="0" fontId="37" fillId="0" borderId="3" quotePrefix="0" xfId="0" applyAlignment="1">
      <alignment vertical="center" wrapText="1"/>
    </xf>
    <xf numFmtId="0" fontId="38" fillId="0" borderId="3" quotePrefix="0" xfId="0" applyAlignment="1">
      <alignment horizontal="center" vertical="center" wrapText="1"/>
    </xf>
    <xf numFmtId="0" fontId="39" fillId="0" borderId="3" quotePrefix="0" xfId="0" applyAlignment="1">
      <alignment vertical="center" wrapText="1"/>
    </xf>
    <xf numFmtId="0" fontId="40" fillId="0" borderId="3" quotePrefix="0" xfId="0" applyAlignment="1">
      <alignment vertical="center" wrapText="1"/>
    </xf>
    <xf numFmtId="0" fontId="42" fillId="0" borderId="5" quotePrefix="0" xfId="0" applyAlignment="1">
      <alignment horizontal="left" vertical="center" wrapText="1"/>
    </xf>
    <xf numFmtId="0" fontId="39" fillId="7" borderId="0" quotePrefix="0" xfId="0" applyAlignment="1">
      <alignment vertical="center"/>
    </xf>
    <xf numFmtId="0" fontId="11" fillId="7" borderId="0" quotePrefix="0" xfId="0" applyAlignment="1">
      <alignment vertical="center"/>
    </xf>
    <xf numFmtId="0" fontId="44" fillId="0" borderId="5" quotePrefix="0" xfId="0" applyAlignment="1">
      <alignment horizontal="left" vertical="center" wrapText="1"/>
    </xf>
    <xf numFmtId="0" fontId="45" fillId="0" borderId="5" quotePrefix="0" xfId="0" applyAlignment="1">
      <alignment horizontal="left" vertical="center" wrapText="1"/>
    </xf>
    <xf numFmtId="0" fontId="46" fillId="0" borderId="5" quotePrefix="0" xfId="0" applyAlignment="1">
      <alignment horizontal="left" vertical="center" wrapText="1"/>
    </xf>
    <xf numFmtId="0" fontId="47" fillId="0" borderId="5" quotePrefix="0" xfId="0" applyAlignment="1">
      <alignment horizontal="left" vertical="center" wrapText="1"/>
    </xf>
    <xf numFmtId="164" fontId="43" fillId="0" borderId="5" quotePrefix="0" xfId="0" applyAlignment="1">
      <alignment horizontal="center" vertical="center" wrapText="1"/>
    </xf>
    <xf numFmtId="164" fontId="44" fillId="0" borderId="5" quotePrefix="0" xfId="0" applyAlignment="1">
      <alignment horizontal="center" vertical="center" wrapText="1"/>
    </xf>
    <xf numFmtId="0" fontId="3" fillId="0" borderId="0" quotePrefix="0" xfId="0" applyAlignment="1">
      <alignment horizontal="center" vertical="center" wrapText="1"/>
    </xf>
    <xf numFmtId="0" fontId="48" fillId="5" borderId="0" quotePrefix="0" xfId="0" applyAlignment="1">
      <alignment horizontal="center" vertical="center" wrapText="1"/>
    </xf>
    <xf numFmtId="0" fontId="49" fillId="0" borderId="0" quotePrefix="0" xfId="0" applyAlignment="1">
      <alignment horizontal="center" vertical="center" wrapText="1"/>
    </xf>
    <xf numFmtId="0" fontId="48" fillId="0" borderId="0" quotePrefix="0" xfId="0" applyAlignment="1">
      <alignment horizontal="center" vertical="center" wrapText="1"/>
    </xf>
    <xf numFmtId="0" fontId="50" fillId="0" borderId="0" quotePrefix="0" xfId="0" applyAlignment="1">
      <alignment horizontal="center"/>
    </xf>
    <xf numFmtId="0" fontId="51" fillId="0" borderId="3" quotePrefix="0" xfId="0" applyAlignment="1">
      <alignment horizontal="center" vertical="center" wrapText="1"/>
    </xf>
    <xf numFmtId="0" fontId="49" fillId="0" borderId="3" quotePrefix="0" xfId="0" applyAlignment="1">
      <alignment horizontal="center" vertical="center" wrapText="1"/>
    </xf>
    <xf numFmtId="0" fontId="52" fillId="0" borderId="3" quotePrefix="0" xfId="0" applyAlignment="1">
      <alignment horizontal="center" vertical="center" wrapText="1"/>
    </xf>
    <xf numFmtId="0" fontId="43" fillId="0" borderId="5" quotePrefix="0" xfId="0" applyAlignment="1">
      <alignment horizontal="center" vertical="center"/>
    </xf>
    <xf numFmtId="0" fontId="3" fillId="5" borderId="1" quotePrefix="0" xfId="0" applyAlignment="1">
      <alignment horizontal="center" vertical="center" wrapText="1"/>
    </xf>
    <xf numFmtId="0" fontId="0" fillId="0" borderId="0" quotePrefix="0" xfId="0" applyAlignment="1">
      <alignment horizontal="center" vertical="center"/>
    </xf>
    <xf numFmtId="0" fontId="53" fillId="9" borderId="5" quotePrefix="0" xfId="0" applyAlignment="1">
      <alignment horizontal="center" vertical="center"/>
    </xf>
    <xf numFmtId="0" fontId="41" fillId="8" borderId="5" quotePrefix="0" xfId="0" applyAlignment="1">
      <alignment horizontal="center" vertical="center"/>
    </xf>
    <xf numFmtId="164" fontId="54" fillId="0" borderId="5" quotePrefix="0" xfId="0" applyAlignment="1">
      <alignment horizontal="center" vertical="center" wrapText="1"/>
    </xf>
    <xf numFmtId="0" fontId="55" fillId="3" borderId="2" quotePrefix="0" xfId="0" applyAlignment="1">
      <alignment horizontal="center" vertical="center" wrapText="1"/>
    </xf>
    <xf numFmtId="0" fontId="56" fillId="0" borderId="3" quotePrefix="0" xfId="0" applyAlignment="1">
      <alignment vertical="center" wrapText="1"/>
    </xf>
    <xf numFmtId="0" fontId="57" fillId="0" borderId="3" quotePrefix="0" xfId="0" applyAlignment="1">
      <alignment horizontal="left" vertical="center" wrapText="1"/>
    </xf>
    <xf numFmtId="0" fontId="58" fillId="0" borderId="3" quotePrefix="0" xfId="0" applyAlignment="1">
      <alignment vertical="center" wrapText="1"/>
    </xf>
    <xf numFmtId="0" fontId="56" fillId="0" borderId="3" quotePrefix="0" xfId="0" applyAlignment="1">
      <alignment horizontal="right" vertical="center" wrapText="1"/>
    </xf>
    <xf numFmtId="0" fontId="56" fillId="0" borderId="3" quotePrefix="0" xfId="0" applyAlignment="1">
      <alignment horizontal="center" vertical="center" wrapText="1"/>
    </xf>
    <xf numFmtId="0" fontId="59" fillId="0" borderId="3" quotePrefix="0" xfId="0" applyAlignment="1">
      <alignment vertical="center" wrapText="1"/>
    </xf>
    <xf numFmtId="0" fontId="60" fillId="0" borderId="3" quotePrefix="0" xfId="0" applyAlignment="1">
      <alignment horizontal="center" vertical="center" wrapText="1"/>
    </xf>
    <xf numFmtId="0" fontId="56" fillId="6" borderId="3" quotePrefix="0" xfId="0" applyAlignment="1">
      <alignment horizontal="right" vertical="center" wrapText="1"/>
    </xf>
    <xf numFmtId="0" fontId="61" fillId="0" borderId="3" quotePrefix="0" xfId="0" applyAlignment="1">
      <alignment vertical="center" wrapText="1"/>
    </xf>
    <xf numFmtId="0" fontId="62" fillId="0" borderId="3" quotePrefix="0" xfId="0" applyAlignment="1">
      <alignment horizontal="center" vertical="center" wrapText="1"/>
    </xf>
    <xf numFmtId="0" fontId="61" fillId="7" borderId="0" quotePrefix="0" xfId="0" applyAlignment="0"/>
    <xf numFmtId="165" fontId="39" fillId="0" borderId="3" quotePrefix="0" xfId="0" applyAlignment="1">
      <alignment vertical="center" wrapText="1"/>
    </xf>
    <xf numFmtId="0" fontId="17" fillId="0" borderId="3" quotePrefix="0" xfId="0" applyAlignment="1">
      <alignment vertical="center" wrapText="1"/>
    </xf>
  </cellXf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sheetMetadata" Target="metadata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>
  <sheetPr/>
  <dimension ref="A1:AC26"/>
  <sheetViews>
    <sheetView workbookViewId="0">
      <selection activeCell="A1" sqref="A1"/>
    </sheetView>
  </sheetViews>
  <sheetFormatPr defaultRowHeight="15.75" defaultColWidth="14.4286"/>
  <cols>
    <col min="1" max="1" width="6.42857" customWidth="1"/>
    <col min="2" max="2" width="8.71429" customWidth="1"/>
    <col min="3" max="3" width="12" customWidth="1"/>
    <col min="6" max="6" width="9.85714" customWidth="1"/>
    <col min="7" max="7" width="9.14286" customWidth="1"/>
    <col min="9" max="9" width="11.7143" customWidth="1"/>
    <col min="10" max="10" width="17" customWidth="1"/>
    <col min="11" max="11" width="9.85714" customWidth="1"/>
    <col min="12" max="17" width="9" customWidth="1"/>
    <col min="18" max="18" width="9" customWidth="1" style="79"/>
    <col min="19" max="27" width="9" customWidth="1"/>
    <col min="28" max="28" width="8.85714" customWidth="1"/>
    <col min="29" max="29" width="10.2857" customWidth="1"/>
  </cols>
  <sheetData>
    <row r="1" s="25" customFormat="1" ht="96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="8" customFormat="1">
      <c r="A2" s="3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2" t="s">
        <v>8</v>
      </c>
      <c r="I2" s="1" t="s">
        <v>9</v>
      </c>
      <c r="J2" s="2" t="s">
        <v>10</v>
      </c>
      <c r="K2" s="1" t="s">
        <v>11</v>
      </c>
      <c r="L2" s="29" t="n">
        <v>46182</v>
      </c>
      <c r="M2" s="29" t="n">
        <v>46183</v>
      </c>
      <c r="N2" s="29" t="n">
        <v>46184</v>
      </c>
      <c r="O2" s="29" t="n">
        <v>46185</v>
      </c>
      <c r="P2" s="29" t="n">
        <v>46186</v>
      </c>
      <c r="Q2" s="29" t="n">
        <v>46188</v>
      </c>
      <c r="R2" s="29" t="n">
        <v>46189</v>
      </c>
      <c r="S2" s="29" t="n">
        <v>46190</v>
      </c>
      <c r="T2" s="29" t="n">
        <v>46191</v>
      </c>
      <c r="U2" s="29" t="n">
        <v>46192</v>
      </c>
      <c r="V2" s="29" t="n">
        <v>46193</v>
      </c>
      <c r="W2" s="29" t="n">
        <v>46194</v>
      </c>
      <c r="X2" s="29" t="n">
        <v>46195</v>
      </c>
      <c r="Y2" s="29" t="n">
        <v>46196</v>
      </c>
      <c r="Z2" s="1" t="s">
        <v>12</v>
      </c>
      <c r="AA2" s="2" t="s">
        <v>13</v>
      </c>
      <c r="AB2" s="6" t="s">
        <v>14</v>
      </c>
      <c r="AC2" s="6" t="s">
        <v>15</v>
      </c>
    </row>
    <row r="3" s="58" customFormat="1" ht="109.5" customHeight="1">
      <c r="A3" s="47" t="n">
        <v>1</v>
      </c>
      <c r="B3" s="48" t="s">
        <v>16</v>
      </c>
      <c r="C3" s="49" t="s">
        <v>17</v>
      </c>
      <c r="D3" s="50" t="s">
        <v>18</v>
      </c>
      <c r="E3" s="50" t="s">
        <v>19</v>
      </c>
      <c r="F3" s="51" t="n">
        <v>10</v>
      </c>
      <c r="G3" s="52" t="s">
        <v>20</v>
      </c>
      <c r="H3" s="53" t="s">
        <v>21</v>
      </c>
      <c r="I3" s="54" t="s">
        <v>22</v>
      </c>
      <c r="J3" s="53" t="s">
        <v>23</v>
      </c>
      <c r="K3" s="56" t="f">
        <f>3- sum(L3:Y3)</f>
      </c>
      <c r="L3" s="57" t="n">
        <v>1</v>
      </c>
      <c r="M3" s="57" t="n">
        <v>1</v>
      </c>
      <c r="N3" s="57" t="n">
        <v>1</v>
      </c>
      <c r="O3" s="57"/>
      <c r="P3" s="57"/>
      <c r="Q3" s="57"/>
      <c r="R3" s="80"/>
      <c r="S3" s="57"/>
      <c r="T3" s="57"/>
      <c r="U3" s="57"/>
      <c r="V3" s="57"/>
      <c r="W3" s="57"/>
      <c r="X3" s="57"/>
      <c r="Y3" s="57"/>
      <c r="Z3" s="57"/>
      <c r="AA3" s="48"/>
      <c r="AB3" s="57"/>
      <c r="AC3" s="57"/>
    </row>
    <row r="4" s="20" customFormat="1" ht="109.5" customHeight="1">
      <c r="A4" s="12" t="n">
        <v>2</v>
      </c>
      <c r="B4" s="13" t="s">
        <v>24</v>
      </c>
      <c r="C4" s="27" t="s">
        <v>25</v>
      </c>
      <c r="D4" s="28" t="s">
        <v>26</v>
      </c>
      <c r="E4" s="28" t="s">
        <v>27</v>
      </c>
      <c r="F4" s="15" t="n">
        <v>14.020000</v>
      </c>
      <c r="G4" s="26" t="s">
        <v>28</v>
      </c>
      <c r="H4" s="11" t="s">
        <v>21</v>
      </c>
      <c r="I4" s="16" t="s">
        <v>29</v>
      </c>
      <c r="J4" s="19" t="s">
        <v>30</v>
      </c>
      <c r="K4" s="17" t="f">
        <f>3- sum(L4:Y4)</f>
      </c>
      <c r="L4" s="18"/>
      <c r="M4" s="18" t="n">
        <v>1</v>
      </c>
      <c r="N4" s="18" t="n">
        <v>1</v>
      </c>
      <c r="O4" s="18"/>
      <c r="P4" s="18"/>
      <c r="Q4" s="18"/>
      <c r="R4" s="81" t="s">
        <v>31</v>
      </c>
      <c r="S4" s="18" t="n">
        <v>1</v>
      </c>
      <c r="T4" s="18"/>
      <c r="U4" s="18"/>
      <c r="V4" s="18"/>
      <c r="W4" s="18"/>
      <c r="X4" s="18"/>
      <c r="Y4" s="18"/>
      <c r="Z4" s="18"/>
      <c r="AA4" s="19"/>
      <c r="AB4" s="18"/>
      <c r="AC4" s="18"/>
    </row>
    <row r="5" s="20" customFormat="1" ht="109.5" customHeight="1">
      <c r="A5" s="12" t="n">
        <v>3</v>
      </c>
      <c r="B5" s="13" t="s">
        <v>32</v>
      </c>
      <c r="C5" s="27" t="s">
        <v>17</v>
      </c>
      <c r="D5" s="28" t="s">
        <v>33</v>
      </c>
      <c r="E5" s="28" t="s">
        <v>34</v>
      </c>
      <c r="F5" s="15" t="n">
        <v>11</v>
      </c>
      <c r="G5" s="26" t="s">
        <v>20</v>
      </c>
      <c r="H5" s="11" t="s">
        <v>35</v>
      </c>
      <c r="I5" s="16" t="s">
        <v>36</v>
      </c>
      <c r="J5" s="19"/>
      <c r="K5" s="17" t="f">
        <f>4- sum(L5:Y5)</f>
      </c>
      <c r="L5" s="18" t="n">
        <v>1</v>
      </c>
      <c r="M5" s="18" t="n">
        <v>1</v>
      </c>
      <c r="N5" s="18" t="n">
        <v>1</v>
      </c>
      <c r="O5" s="18"/>
      <c r="P5" s="18"/>
      <c r="Q5" s="18"/>
      <c r="R5" s="81" t="s">
        <v>37</v>
      </c>
      <c r="S5" s="18" t="n">
        <v>1</v>
      </c>
      <c r="T5" s="18"/>
      <c r="U5" s="18"/>
      <c r="V5" s="18"/>
      <c r="W5" s="18"/>
      <c r="X5" s="18"/>
      <c r="Y5" s="18"/>
      <c r="Z5" s="18"/>
      <c r="AA5" s="19"/>
      <c r="AB5" s="18"/>
      <c r="AC5" s="18"/>
    </row>
    <row r="6" s="58" customFormat="1" ht="109.5" customHeight="1">
      <c r="A6" s="47" t="n">
        <v>4</v>
      </c>
      <c r="B6" s="48" t="s">
        <v>38</v>
      </c>
      <c r="C6" s="49" t="s">
        <v>39</v>
      </c>
      <c r="D6" s="50" t="s">
        <v>40</v>
      </c>
      <c r="E6" s="50" t="s">
        <v>41</v>
      </c>
      <c r="F6" s="51" t="n">
        <v>11.030000</v>
      </c>
      <c r="G6" s="52" t="s">
        <v>42</v>
      </c>
      <c r="H6" s="53" t="s">
        <v>43</v>
      </c>
      <c r="I6" s="54" t="s">
        <v>44</v>
      </c>
      <c r="J6" s="55"/>
      <c r="K6" s="56" t="s">
        <v>45</v>
      </c>
      <c r="L6" s="57"/>
      <c r="M6" s="57"/>
      <c r="N6" s="57"/>
      <c r="O6" s="57"/>
      <c r="P6" s="57"/>
      <c r="Q6" s="57"/>
      <c r="R6" s="80"/>
      <c r="S6" s="57"/>
      <c r="T6" s="57"/>
      <c r="U6" s="57"/>
      <c r="V6" s="57"/>
      <c r="W6" s="57"/>
      <c r="X6" s="57"/>
      <c r="Y6" s="57"/>
      <c r="Z6" s="57"/>
      <c r="AA6" s="55"/>
      <c r="AB6" s="57"/>
      <c r="AC6" s="57"/>
    </row>
    <row r="7" s="45" customFormat="1" ht="109.5" customHeight="1">
      <c r="A7" s="35" t="n">
        <v>5</v>
      </c>
      <c r="B7" s="36" t="s">
        <v>46</v>
      </c>
      <c r="C7" s="37" t="s">
        <v>47</v>
      </c>
      <c r="D7" s="38" t="s">
        <v>48</v>
      </c>
      <c r="E7" s="38" t="s">
        <v>49</v>
      </c>
      <c r="F7" s="39" t="n">
        <v>12.080000</v>
      </c>
      <c r="G7" s="40" t="s">
        <v>20</v>
      </c>
      <c r="H7" s="41" t="s">
        <v>35</v>
      </c>
      <c r="I7" s="42" t="s">
        <v>50</v>
      </c>
      <c r="J7" s="43"/>
      <c r="K7" s="17" t="s">
        <v>51</v>
      </c>
      <c r="L7" s="46" t="n">
        <v>1</v>
      </c>
      <c r="M7" s="44"/>
      <c r="N7" s="44"/>
      <c r="O7" s="44"/>
      <c r="P7" s="44"/>
      <c r="Q7" s="44"/>
      <c r="R7" s="82"/>
      <c r="S7" s="44"/>
      <c r="T7" s="44"/>
      <c r="U7" s="44"/>
      <c r="V7" s="44"/>
      <c r="W7" s="44"/>
      <c r="X7" s="44"/>
      <c r="Y7" s="44"/>
      <c r="Z7" s="44"/>
      <c r="AA7" s="43"/>
      <c r="AB7" s="44"/>
      <c r="AC7" s="44"/>
    </row>
    <row r="8" s="100" customFormat="1" ht="109.5" customHeight="1">
      <c r="A8" s="89" t="n">
        <v>6</v>
      </c>
      <c r="B8" s="90" t="s">
        <v>52</v>
      </c>
      <c r="C8" s="91" t="s">
        <v>53</v>
      </c>
      <c r="D8" s="92" t="s">
        <v>54</v>
      </c>
      <c r="E8" s="92" t="s">
        <v>55</v>
      </c>
      <c r="F8" s="93" t="n">
        <v>14.050000</v>
      </c>
      <c r="G8" s="94" t="s">
        <v>20</v>
      </c>
      <c r="H8" s="95" t="s">
        <v>21</v>
      </c>
      <c r="I8" s="96" t="s">
        <v>56</v>
      </c>
      <c r="J8" s="90" t="s">
        <v>57</v>
      </c>
      <c r="K8" s="97" t="s">
        <v>58</v>
      </c>
      <c r="L8" s="98" t="n">
        <v>1</v>
      </c>
      <c r="M8" s="98"/>
      <c r="N8" s="98"/>
      <c r="O8" s="98"/>
      <c r="P8" s="98"/>
      <c r="Q8" s="98"/>
      <c r="R8" s="99" t="s">
        <v>31</v>
      </c>
      <c r="S8" s="98"/>
      <c r="T8" s="98"/>
      <c r="U8" s="98"/>
      <c r="V8" s="98"/>
      <c r="W8" s="98"/>
      <c r="X8" s="98"/>
      <c r="Y8" s="98"/>
      <c r="Z8" s="98"/>
      <c r="AA8" s="90"/>
      <c r="AB8" s="101" t="n">
        <v>120</v>
      </c>
      <c r="AC8" s="98"/>
    </row>
    <row r="9" s="20" customFormat="1" ht="109.5" customHeight="1">
      <c r="A9" s="12" t="n">
        <v>7</v>
      </c>
      <c r="B9" s="13" t="s">
        <v>59</v>
      </c>
      <c r="C9" s="14" t="s">
        <v>60</v>
      </c>
      <c r="D9" s="28" t="s">
        <v>61</v>
      </c>
      <c r="E9" s="28" t="s">
        <v>62</v>
      </c>
      <c r="F9" s="15" t="n">
        <v>15.080000</v>
      </c>
      <c r="G9" s="26" t="s">
        <v>20</v>
      </c>
      <c r="H9" s="11" t="s">
        <v>43</v>
      </c>
      <c r="I9" s="16" t="s">
        <v>50</v>
      </c>
      <c r="J9" s="19"/>
      <c r="K9" s="17" t="f">
        <f>1- sum(L9:Y9)</f>
      </c>
      <c r="L9" s="18" t="n">
        <v>1</v>
      </c>
      <c r="M9" s="18"/>
      <c r="N9" s="18"/>
      <c r="O9" s="18"/>
      <c r="P9" s="18"/>
      <c r="Q9" s="18"/>
      <c r="R9" s="81"/>
      <c r="S9" s="18"/>
      <c r="T9" s="18"/>
      <c r="U9" s="18"/>
      <c r="V9" s="18"/>
      <c r="W9" s="18"/>
      <c r="X9" s="18"/>
      <c r="Y9" s="18"/>
      <c r="Z9" s="18"/>
      <c r="AA9" s="19"/>
      <c r="AB9" s="18"/>
      <c r="AC9" s="18"/>
    </row>
    <row r="10" s="20" customFormat="1" ht="109.5" customHeight="1">
      <c r="A10" s="12" t="n">
        <v>8</v>
      </c>
      <c r="B10" s="13" t="s">
        <v>63</v>
      </c>
      <c r="C10" s="27" t="s">
        <v>64</v>
      </c>
      <c r="D10" s="28" t="s">
        <v>65</v>
      </c>
      <c r="E10" s="28" t="s">
        <v>66</v>
      </c>
      <c r="F10" s="15" t="n">
        <v>10.020000</v>
      </c>
      <c r="G10" s="26" t="s">
        <v>20</v>
      </c>
      <c r="H10" s="11" t="s">
        <v>35</v>
      </c>
      <c r="I10" s="16" t="s">
        <v>36</v>
      </c>
      <c r="J10" s="19"/>
      <c r="K10" s="17" t="f">
        <f>4- sum(L10:Y10)</f>
      </c>
      <c r="L10" s="18" t="n">
        <v>1</v>
      </c>
      <c r="M10" s="18" t="n">
        <v>1</v>
      </c>
      <c r="N10" s="59" t="s">
        <v>31</v>
      </c>
      <c r="O10" s="18"/>
      <c r="P10" s="18"/>
      <c r="Q10" s="18"/>
      <c r="R10" s="81" t="n">
        <v>1</v>
      </c>
      <c r="S10" s="18" t="n">
        <v>1</v>
      </c>
      <c r="T10" s="18"/>
      <c r="U10" s="18"/>
      <c r="V10" s="18"/>
      <c r="W10" s="18"/>
      <c r="X10" s="18"/>
      <c r="Y10" s="18"/>
      <c r="Z10" s="18"/>
      <c r="AA10" s="19"/>
      <c r="AB10" s="18"/>
      <c r="AC10" s="18"/>
    </row>
    <row r="11" s="20" customFormat="1" ht="109.5" customHeight="1">
      <c r="A11" s="12"/>
      <c r="B11" s="13"/>
      <c r="C11" s="27"/>
      <c r="D11" s="27" t="s">
        <v>67</v>
      </c>
      <c r="E11" s="28"/>
      <c r="F11" s="15" t="n">
        <v>5</v>
      </c>
      <c r="G11" s="26"/>
      <c r="H11" s="11"/>
      <c r="I11" s="16"/>
      <c r="J11" s="19"/>
      <c r="K11" s="17"/>
      <c r="L11" s="18"/>
      <c r="M11" s="18"/>
      <c r="N11" s="59"/>
      <c r="O11" s="18"/>
      <c r="P11" s="18"/>
      <c r="Q11" s="18"/>
      <c r="R11" s="81"/>
      <c r="S11" s="18" t="n">
        <v>1</v>
      </c>
      <c r="T11" s="18"/>
      <c r="U11" s="18"/>
      <c r="V11" s="18"/>
      <c r="W11" s="18"/>
      <c r="X11" s="18"/>
      <c r="Y11" s="18"/>
      <c r="Z11" s="18"/>
      <c r="AA11" s="19"/>
      <c r="AB11" s="18"/>
      <c r="AC11" s="18"/>
    </row>
    <row r="12" s="8" customForma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7"/>
      <c r="M12" s="7"/>
      <c r="N12" s="7"/>
      <c r="O12" s="7"/>
      <c r="P12" s="7"/>
      <c r="Q12" s="7"/>
      <c r="R12" s="76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="34" customFormat="1" ht="51.75" customHeight="1">
      <c r="A13" s="31" t="s">
        <v>68</v>
      </c>
      <c r="B13" s="22"/>
      <c r="C13" s="22"/>
      <c r="D13" s="22"/>
      <c r="E13" s="22"/>
      <c r="F13" s="22"/>
      <c r="G13" s="22"/>
      <c r="H13" s="22"/>
      <c r="I13" s="22"/>
      <c r="J13" s="22"/>
      <c r="K13" s="32" t="f">
        <f>sum(K3:K10)</f>
      </c>
      <c r="L13" s="33"/>
      <c r="M13" s="33"/>
      <c r="N13" s="33"/>
      <c r="O13" s="33"/>
      <c r="P13" s="33"/>
      <c r="Q13" s="33"/>
      <c r="R13" s="77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="8" customForma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78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="10" customFormat="1" ht="64.5" customHeight="1">
      <c r="A15" s="5"/>
      <c r="B15" s="5"/>
      <c r="C15" s="5"/>
      <c r="D15" s="5"/>
      <c r="E15" s="5"/>
      <c r="F15" s="5"/>
      <c r="G15" s="5"/>
      <c r="H15" s="5"/>
      <c r="I15" s="23" t="s">
        <v>69</v>
      </c>
      <c r="J15" s="21"/>
      <c r="K15" s="24"/>
      <c r="L15" s="24"/>
      <c r="M15" s="5"/>
      <c r="N15" s="5"/>
      <c r="O15" s="5"/>
      <c r="P15" s="5"/>
      <c r="Q15" s="5"/>
      <c r="R15" s="78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="10" customFormat="1" ht="64.5" customHeight="1">
      <c r="A16" s="5"/>
      <c r="B16" s="5"/>
      <c r="C16" s="5"/>
      <c r="D16" s="5"/>
      <c r="E16" s="5"/>
      <c r="F16" s="5"/>
      <c r="G16" s="5"/>
      <c r="H16" s="5"/>
      <c r="I16" s="23" t="s">
        <v>70</v>
      </c>
      <c r="J16" s="21"/>
      <c r="K16" s="24"/>
      <c r="L16" s="24"/>
      <c r="M16" s="5"/>
      <c r="N16" s="5"/>
      <c r="O16" s="5"/>
      <c r="P16" s="5"/>
      <c r="Q16" s="5"/>
      <c r="R16" s="78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="8" customForma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78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="8" customForma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78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="8" customForma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78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="8" customFormat="1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78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="8" customFormat="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78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="8" customFormat="1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78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="8" customFormat="1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78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="8" customFormat="1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78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="9" customFormat="1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78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="9" customFormat="1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78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</sheetData>
  <mergeCells count="6">
    <mergeCell ref="A1:AC1"/>
    <mergeCell ref="A13:J13"/>
    <mergeCell ref="I15:J15"/>
    <mergeCell ref="K15:L15"/>
    <mergeCell ref="K16:L16"/>
    <mergeCell ref="I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/>
  <dimension ref="A1:AD41"/>
  <sheetViews>
    <sheetView workbookViewId="0">
      <selection activeCell="A1" sqref="A1"/>
    </sheetView>
  </sheetViews>
  <sheetFormatPr defaultRowHeight="15.75" defaultColWidth="14.4286"/>
  <cols>
    <col min="1" max="1" width="6.42857" customWidth="1"/>
    <col min="2" max="2" width="8.71429" customWidth="1"/>
    <col min="3" max="3" width="12" customWidth="1"/>
    <col min="5" max="5" width="15" customWidth="1"/>
    <col min="6" max="6" width="9.85714" customWidth="1"/>
    <col min="7" max="7" width="9.14286" customWidth="1"/>
    <col min="9" max="9" width="11.7143" customWidth="1"/>
    <col min="10" max="10" width="22.1429" customWidth="1"/>
    <col min="11" max="11" width="9.85714" customWidth="1" style="85"/>
    <col min="12" max="12" width="8.42857" customWidth="1" style="85"/>
    <col min="13" max="28" width="9" customWidth="1"/>
    <col min="29" max="29" width="8.85714" customWidth="1"/>
    <col min="30" max="30" width="10.2857" customWidth="1"/>
  </cols>
  <sheetData>
    <row r="1" s="25" customFormat="1" ht="96" customHeight="1">
      <c r="A1" s="30" t="s">
        <v>71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="8" customFormat="1">
      <c r="A2" s="3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2" t="s">
        <v>8</v>
      </c>
      <c r="I2" s="1" t="s">
        <v>9</v>
      </c>
      <c r="J2" s="2" t="s">
        <v>10</v>
      </c>
      <c r="K2" s="1" t="s">
        <v>72</v>
      </c>
      <c r="L2" s="1" t="s">
        <v>73</v>
      </c>
      <c r="M2" s="60" t="s">
        <v>74</v>
      </c>
      <c r="N2" s="60" t="s">
        <v>75</v>
      </c>
      <c r="O2" s="60" t="s">
        <v>76</v>
      </c>
      <c r="P2" s="60" t="s">
        <v>77</v>
      </c>
      <c r="Q2" s="60" t="s">
        <v>78</v>
      </c>
      <c r="R2" s="60" t="s">
        <v>79</v>
      </c>
      <c r="S2" s="60" t="s">
        <v>80</v>
      </c>
      <c r="T2" s="60" t="s">
        <v>81</v>
      </c>
      <c r="U2" s="60" t="s">
        <v>82</v>
      </c>
      <c r="V2" s="60" t="s">
        <v>83</v>
      </c>
      <c r="W2" s="60" t="s">
        <v>84</v>
      </c>
      <c r="X2" s="60" t="s">
        <v>85</v>
      </c>
      <c r="Y2" s="60" t="s">
        <v>86</v>
      </c>
      <c r="Z2" s="60" t="s">
        <v>87</v>
      </c>
      <c r="AA2" s="1" t="s">
        <v>12</v>
      </c>
      <c r="AB2" s="2" t="s">
        <v>13</v>
      </c>
      <c r="AC2" s="6" t="s">
        <v>14</v>
      </c>
      <c r="AD2" s="6" t="s">
        <v>15</v>
      </c>
    </row>
    <row r="3" s="67" customFormat="1" ht="70.5" customHeight="1">
      <c r="A3" s="61" t="n">
        <v>1</v>
      </c>
      <c r="B3" s="73" t="s">
        <v>88</v>
      </c>
      <c r="C3" s="74" t="s">
        <v>89</v>
      </c>
      <c r="D3" s="73" t="s">
        <v>90</v>
      </c>
      <c r="E3" s="73" t="s">
        <v>91</v>
      </c>
      <c r="F3" s="83" t="n">
        <v>12.090000</v>
      </c>
      <c r="G3" s="66" t="s">
        <v>92</v>
      </c>
      <c r="H3" s="69" t="s">
        <v>35</v>
      </c>
      <c r="I3" s="63" t="s">
        <v>93</v>
      </c>
      <c r="J3" s="72" t="s">
        <v>94</v>
      </c>
      <c r="K3" s="87" t="n">
        <v>12</v>
      </c>
      <c r="L3" s="86" t="f">
        <f>24-K3</f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2"/>
      <c r="AC3" s="64"/>
      <c r="AD3" s="64"/>
    </row>
    <row r="4" s="67" customFormat="1" ht="70.5" customHeight="1">
      <c r="A4" s="61" t="n">
        <v>2</v>
      </c>
      <c r="B4" s="73" t="s">
        <v>95</v>
      </c>
      <c r="C4" s="73" t="s">
        <v>96</v>
      </c>
      <c r="D4" s="73" t="s">
        <v>97</v>
      </c>
      <c r="E4" s="73" t="s">
        <v>98</v>
      </c>
      <c r="F4" s="83" t="n">
        <v>11.090000</v>
      </c>
      <c r="G4" s="66" t="s">
        <v>99</v>
      </c>
      <c r="H4" s="69" t="s">
        <v>43</v>
      </c>
      <c r="I4" s="63"/>
      <c r="J4" s="72"/>
      <c r="K4" s="87" t="n">
        <v>3</v>
      </c>
      <c r="L4" s="86" t="f">
        <f>3-K4</f>
      </c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2"/>
      <c r="AC4" s="64"/>
      <c r="AD4" s="64"/>
    </row>
    <row r="5" s="67" customFormat="1" ht="70.5" customHeight="1">
      <c r="A5" s="61" t="n">
        <v>3</v>
      </c>
      <c r="B5" s="73" t="s">
        <v>100</v>
      </c>
      <c r="C5" s="73" t="s">
        <v>47</v>
      </c>
      <c r="D5" s="73" t="s">
        <v>101</v>
      </c>
      <c r="E5" s="73" t="s">
        <v>102</v>
      </c>
      <c r="F5" s="83" t="n">
        <v>13.060000</v>
      </c>
      <c r="G5" s="66" t="s">
        <v>99</v>
      </c>
      <c r="H5" s="69" t="s">
        <v>103</v>
      </c>
      <c r="I5" s="63"/>
      <c r="J5" s="72"/>
      <c r="K5" s="87" t="n">
        <v>4</v>
      </c>
      <c r="L5" s="86" t="f">
        <f>4-K5</f>
      </c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2"/>
      <c r="AC5" s="64"/>
      <c r="AD5" s="64"/>
    </row>
    <row r="6" s="67" customFormat="1" ht="70.5" customHeight="1">
      <c r="A6" s="61" t="n">
        <v>4</v>
      </c>
      <c r="B6" s="73" t="s">
        <v>104</v>
      </c>
      <c r="C6" s="73" t="s">
        <v>105</v>
      </c>
      <c r="D6" s="73" t="s">
        <v>106</v>
      </c>
      <c r="E6" s="73" t="s">
        <v>107</v>
      </c>
      <c r="F6" s="83" t="n">
        <v>14.030000</v>
      </c>
      <c r="G6" s="66" t="s">
        <v>92</v>
      </c>
      <c r="H6" s="69" t="s">
        <v>21</v>
      </c>
      <c r="I6" s="63"/>
      <c r="J6" s="72"/>
      <c r="K6" s="87" t="n">
        <v>2</v>
      </c>
      <c r="L6" s="86" t="f">
        <f>4-K6</f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2"/>
      <c r="AC6" s="64"/>
      <c r="AD6" s="64"/>
    </row>
    <row r="7" s="67" customFormat="1" ht="70.5" customHeight="1">
      <c r="A7" s="61" t="n">
        <v>5</v>
      </c>
      <c r="B7" s="73" t="s">
        <v>100</v>
      </c>
      <c r="C7" s="73" t="s">
        <v>47</v>
      </c>
      <c r="D7" s="73" t="s">
        <v>108</v>
      </c>
      <c r="E7" s="73" t="s">
        <v>109</v>
      </c>
      <c r="F7" s="83" t="n">
        <v>11.090000</v>
      </c>
      <c r="G7" s="66" t="s">
        <v>99</v>
      </c>
      <c r="H7" s="69" t="s">
        <v>35</v>
      </c>
      <c r="I7" s="63"/>
      <c r="J7" s="72"/>
      <c r="K7" s="87" t="n">
        <v>3</v>
      </c>
      <c r="L7" s="86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2"/>
      <c r="AC7" s="64"/>
      <c r="AD7" s="64"/>
    </row>
    <row r="8" s="67" customFormat="1" ht="70.5" customHeight="1">
      <c r="A8" s="61" t="n">
        <v>6</v>
      </c>
      <c r="B8" s="73" t="s">
        <v>24</v>
      </c>
      <c r="C8" s="73" t="s">
        <v>25</v>
      </c>
      <c r="D8" s="73" t="s">
        <v>110</v>
      </c>
      <c r="E8" s="73" t="s">
        <v>111</v>
      </c>
      <c r="F8" s="83" t="n">
        <v>13.090000</v>
      </c>
      <c r="G8" s="66" t="s">
        <v>112</v>
      </c>
      <c r="H8" s="70"/>
      <c r="I8" s="63"/>
      <c r="J8" s="72"/>
      <c r="K8" s="87" t="n">
        <v>6</v>
      </c>
      <c r="L8" s="86" t="f">
        <f>18-K8</f>
      </c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2"/>
      <c r="AC8" s="64"/>
      <c r="AD8" s="64"/>
    </row>
    <row r="9" s="67" customFormat="1" ht="70.5" customHeight="1">
      <c r="A9" s="61" t="n">
        <v>7</v>
      </c>
      <c r="B9" s="73" t="s">
        <v>113</v>
      </c>
      <c r="C9" s="74" t="s">
        <v>89</v>
      </c>
      <c r="D9" s="73" t="s">
        <v>114</v>
      </c>
      <c r="E9" s="73" t="s">
        <v>61</v>
      </c>
      <c r="F9" s="83" t="n">
        <v>11.070000</v>
      </c>
      <c r="G9" s="66" t="s">
        <v>99</v>
      </c>
      <c r="H9" s="69" t="s">
        <v>21</v>
      </c>
      <c r="I9" s="63"/>
      <c r="J9" s="72"/>
      <c r="K9" s="87" t="n">
        <v>3</v>
      </c>
      <c r="L9" s="86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2"/>
      <c r="AC9" s="64"/>
      <c r="AD9" s="64"/>
    </row>
    <row r="10" s="67" customFormat="1" ht="70.5" customHeight="1">
      <c r="A10" s="61" t="n">
        <v>8</v>
      </c>
      <c r="B10" s="73" t="s">
        <v>115</v>
      </c>
      <c r="C10" s="73" t="s">
        <v>53</v>
      </c>
      <c r="D10" s="73" t="s">
        <v>116</v>
      </c>
      <c r="E10" s="73" t="s">
        <v>117</v>
      </c>
      <c r="F10" s="83" t="n">
        <v>13.050000</v>
      </c>
      <c r="G10" s="66" t="s">
        <v>99</v>
      </c>
      <c r="H10" s="69" t="s">
        <v>43</v>
      </c>
      <c r="I10" s="63"/>
      <c r="J10" s="72" t="s">
        <v>118</v>
      </c>
      <c r="K10" s="87" t="n">
        <v>1</v>
      </c>
      <c r="L10" s="86" t="f">
        <f>3-K10</f>
      </c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2"/>
      <c r="AC10" s="64"/>
      <c r="AD10" s="64"/>
    </row>
    <row r="11" s="67" customFormat="1" ht="70.5" customHeight="1">
      <c r="A11" s="61" t="n">
        <v>9</v>
      </c>
      <c r="B11" s="73" t="s">
        <v>119</v>
      </c>
      <c r="C11" s="73" t="s">
        <v>60</v>
      </c>
      <c r="D11" s="73" t="s">
        <v>120</v>
      </c>
      <c r="E11" s="73" t="s">
        <v>121</v>
      </c>
      <c r="F11" s="83" t="n">
        <v>15.030000</v>
      </c>
      <c r="G11" s="66" t="s">
        <v>99</v>
      </c>
      <c r="H11" s="69" t="s">
        <v>35</v>
      </c>
      <c r="I11" s="63"/>
      <c r="J11" s="72" t="s">
        <v>122</v>
      </c>
      <c r="K11" s="87" t="n">
        <v>3</v>
      </c>
      <c r="L11" s="86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2"/>
      <c r="AC11" s="64"/>
      <c r="AD11" s="64"/>
    </row>
    <row r="12" s="67" customFormat="1" ht="70.5" customHeight="1">
      <c r="A12" s="61" t="n">
        <v>10</v>
      </c>
      <c r="B12" s="73" t="s">
        <v>123</v>
      </c>
      <c r="C12" s="73" t="s">
        <v>60</v>
      </c>
      <c r="D12" s="73" t="s">
        <v>124</v>
      </c>
      <c r="E12" s="73" t="s">
        <v>125</v>
      </c>
      <c r="F12" s="83" t="n">
        <v>16.090000</v>
      </c>
      <c r="G12" s="66" t="s">
        <v>99</v>
      </c>
      <c r="H12" s="70"/>
      <c r="I12" s="63"/>
      <c r="J12" s="72"/>
      <c r="K12" s="87" t="n">
        <v>3</v>
      </c>
      <c r="L12" s="86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2"/>
      <c r="AC12" s="64"/>
      <c r="AD12" s="64"/>
    </row>
    <row r="13" s="67" customFormat="1" ht="70.5" customHeight="1">
      <c r="A13" s="61" t="n">
        <v>11</v>
      </c>
      <c r="B13" s="73" t="s">
        <v>126</v>
      </c>
      <c r="C13" s="74" t="s">
        <v>127</v>
      </c>
      <c r="D13" s="73" t="s">
        <v>128</v>
      </c>
      <c r="E13" s="73" t="s">
        <v>97</v>
      </c>
      <c r="F13" s="83" t="n">
        <v>15</v>
      </c>
      <c r="G13" s="66" t="s">
        <v>99</v>
      </c>
      <c r="H13" s="69" t="s">
        <v>35</v>
      </c>
      <c r="I13" s="63"/>
      <c r="J13" s="71" t="s">
        <v>129</v>
      </c>
      <c r="K13" s="87" t="n">
        <v>3</v>
      </c>
      <c r="L13" s="86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2"/>
      <c r="AC13" s="64"/>
      <c r="AD13" s="64"/>
    </row>
    <row r="14" s="67" customFormat="1" ht="70.5" customHeight="1">
      <c r="A14" s="61" t="n">
        <v>12</v>
      </c>
      <c r="B14" s="73" t="s">
        <v>130</v>
      </c>
      <c r="C14" s="73" t="s">
        <v>39</v>
      </c>
      <c r="D14" s="73" t="s">
        <v>131</v>
      </c>
      <c r="E14" s="73" t="s">
        <v>132</v>
      </c>
      <c r="F14" s="83" t="n">
        <v>11.110000</v>
      </c>
      <c r="G14" s="66" t="s">
        <v>133</v>
      </c>
      <c r="H14" s="69" t="s">
        <v>43</v>
      </c>
      <c r="I14" s="63"/>
      <c r="J14" s="72" t="s">
        <v>134</v>
      </c>
      <c r="K14" s="87" t="n">
        <v>4</v>
      </c>
      <c r="L14" s="86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2"/>
      <c r="AC14" s="64"/>
      <c r="AD14" s="64"/>
    </row>
    <row r="15" s="67" customFormat="1" ht="70.5" customHeight="1">
      <c r="A15" s="61" t="n">
        <v>13</v>
      </c>
      <c r="B15" s="73" t="s">
        <v>135</v>
      </c>
      <c r="C15" s="73" t="s">
        <v>47</v>
      </c>
      <c r="D15" s="73" t="s">
        <v>136</v>
      </c>
      <c r="E15" s="73" t="s">
        <v>137</v>
      </c>
      <c r="F15" s="83" t="n">
        <v>12.070000</v>
      </c>
      <c r="G15" s="66" t="s">
        <v>133</v>
      </c>
      <c r="H15" s="69" t="s">
        <v>35</v>
      </c>
      <c r="I15" s="63"/>
      <c r="J15" s="72" t="s">
        <v>138</v>
      </c>
      <c r="K15" s="87" t="n">
        <v>6</v>
      </c>
      <c r="L15" s="86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2"/>
      <c r="AC15" s="64"/>
      <c r="AD15" s="64"/>
    </row>
    <row r="16" s="67" customFormat="1" ht="70.5" customHeight="1">
      <c r="A16" s="61" t="n">
        <v>14</v>
      </c>
      <c r="B16" s="73" t="s">
        <v>139</v>
      </c>
      <c r="C16" s="73" t="s">
        <v>140</v>
      </c>
      <c r="D16" s="73" t="s">
        <v>141</v>
      </c>
      <c r="E16" s="73" t="s">
        <v>142</v>
      </c>
      <c r="F16" s="83" t="n">
        <v>13</v>
      </c>
      <c r="G16" s="66" t="s">
        <v>92</v>
      </c>
      <c r="H16" s="69" t="s">
        <v>43</v>
      </c>
      <c r="I16" s="63"/>
      <c r="J16" s="72"/>
      <c r="K16" s="87" t="n">
        <v>4</v>
      </c>
      <c r="L16" s="86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2"/>
      <c r="AC16" s="64"/>
      <c r="AD16" s="64"/>
    </row>
    <row r="17" s="67" customFormat="1" ht="70.5" customHeight="1">
      <c r="A17" s="61" t="n">
        <v>15</v>
      </c>
      <c r="B17" s="73" t="s">
        <v>143</v>
      </c>
      <c r="C17" s="73" t="s">
        <v>144</v>
      </c>
      <c r="D17" s="73" t="s">
        <v>145</v>
      </c>
      <c r="E17" s="73" t="s">
        <v>146</v>
      </c>
      <c r="F17" s="83" t="n">
        <v>12.090000</v>
      </c>
      <c r="G17" s="66" t="s">
        <v>99</v>
      </c>
      <c r="H17" s="69" t="s">
        <v>35</v>
      </c>
      <c r="I17" s="63"/>
      <c r="J17" s="72"/>
      <c r="K17" s="87" t="n">
        <v>6</v>
      </c>
      <c r="L17" s="86" t="f">
        <f>14-K17</f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2"/>
      <c r="AC17" s="64"/>
      <c r="AD17" s="64"/>
    </row>
    <row r="18" s="67" customFormat="1" ht="70.5" customHeight="1">
      <c r="A18" s="61" t="n">
        <v>16</v>
      </c>
      <c r="B18" s="73" t="s">
        <v>147</v>
      </c>
      <c r="C18" s="73" t="s">
        <v>144</v>
      </c>
      <c r="D18" s="73" t="s">
        <v>148</v>
      </c>
      <c r="E18" s="73" t="s">
        <v>66</v>
      </c>
      <c r="F18" s="83" t="n">
        <v>14.090000</v>
      </c>
      <c r="G18" s="66" t="s">
        <v>28</v>
      </c>
      <c r="H18" s="69" t="s">
        <v>21</v>
      </c>
      <c r="I18" s="16"/>
      <c r="J18" s="72"/>
      <c r="K18" s="87" t="n">
        <v>6</v>
      </c>
      <c r="L18" s="86"/>
      <c r="M18" s="18"/>
      <c r="N18" s="18"/>
      <c r="O18" s="59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9"/>
      <c r="AC18" s="18"/>
      <c r="AD18" s="18"/>
    </row>
    <row r="19" s="67" customFormat="1" ht="70.5" customHeight="1">
      <c r="A19" s="61" t="n">
        <v>17</v>
      </c>
      <c r="B19" s="73" t="s">
        <v>24</v>
      </c>
      <c r="C19" s="73" t="s">
        <v>25</v>
      </c>
      <c r="D19" s="73" t="s">
        <v>26</v>
      </c>
      <c r="E19" s="73" t="s">
        <v>27</v>
      </c>
      <c r="F19" s="83" t="n">
        <v>14.030000</v>
      </c>
      <c r="G19" s="66" t="s">
        <v>99</v>
      </c>
      <c r="H19" s="69" t="s">
        <v>35</v>
      </c>
      <c r="I19" s="63"/>
      <c r="J19" s="72"/>
      <c r="K19" s="87" t="n">
        <v>3</v>
      </c>
      <c r="L19" s="86" t="f">
        <f>6-K19</f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2"/>
      <c r="AC19" s="64"/>
      <c r="AD19" s="64"/>
    </row>
    <row r="20" s="67" customFormat="1" ht="70.5" customHeight="1">
      <c r="A20" s="61" t="n">
        <v>18</v>
      </c>
      <c r="B20" s="73" t="s">
        <v>149</v>
      </c>
      <c r="C20" s="73" t="s">
        <v>150</v>
      </c>
      <c r="D20" s="73" t="s">
        <v>151</v>
      </c>
      <c r="E20" s="73" t="s">
        <v>152</v>
      </c>
      <c r="F20" s="83" t="n">
        <v>16.060000</v>
      </c>
      <c r="G20" s="66" t="s">
        <v>99</v>
      </c>
      <c r="H20" s="69" t="s">
        <v>35</v>
      </c>
      <c r="I20" s="63"/>
      <c r="J20" s="72"/>
      <c r="K20" s="87" t="n">
        <v>6</v>
      </c>
      <c r="L20" s="86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5"/>
      <c r="AC20" s="64"/>
      <c r="AD20" s="64"/>
    </row>
    <row r="21" s="67" customFormat="1" ht="70.5" customHeight="1">
      <c r="A21" s="61" t="n">
        <v>19</v>
      </c>
      <c r="B21" s="73" t="s">
        <v>32</v>
      </c>
      <c r="C21" s="74" t="s">
        <v>89</v>
      </c>
      <c r="D21" s="73" t="s">
        <v>153</v>
      </c>
      <c r="E21" s="73" t="s">
        <v>154</v>
      </c>
      <c r="F21" s="83" t="n">
        <v>10.070000</v>
      </c>
      <c r="G21" s="66" t="s">
        <v>99</v>
      </c>
      <c r="H21" s="69" t="s">
        <v>21</v>
      </c>
      <c r="I21" s="63"/>
      <c r="J21" s="72" t="s">
        <v>155</v>
      </c>
      <c r="K21" s="87" t="n">
        <v>5</v>
      </c>
      <c r="L21" s="86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5"/>
      <c r="AC21" s="64"/>
      <c r="AD21" s="64"/>
    </row>
    <row r="22" s="67" customFormat="1" ht="70.5" customHeight="1">
      <c r="A22" s="61" t="n">
        <v>20</v>
      </c>
      <c r="B22" s="73" t="s">
        <v>156</v>
      </c>
      <c r="C22" s="73" t="s">
        <v>157</v>
      </c>
      <c r="D22" s="73" t="s">
        <v>158</v>
      </c>
      <c r="E22" s="73" t="s">
        <v>159</v>
      </c>
      <c r="F22" s="83" t="n">
        <v>11.060000</v>
      </c>
      <c r="G22" s="66" t="s">
        <v>92</v>
      </c>
      <c r="H22" s="69" t="s">
        <v>21</v>
      </c>
      <c r="I22" s="63"/>
      <c r="J22" s="72"/>
      <c r="K22" s="87" t="n">
        <v>6</v>
      </c>
      <c r="L22" s="86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5"/>
      <c r="AC22" s="64"/>
      <c r="AD22" s="64"/>
    </row>
    <row r="23" s="67" customFormat="1" ht="70.5" customHeight="1">
      <c r="A23" s="61" t="n">
        <v>21</v>
      </c>
      <c r="B23" s="73" t="s">
        <v>160</v>
      </c>
      <c r="C23" s="73" t="s">
        <v>140</v>
      </c>
      <c r="D23" s="73" t="s">
        <v>161</v>
      </c>
      <c r="E23" s="73" t="s">
        <v>162</v>
      </c>
      <c r="F23" s="83" t="n">
        <v>13.100000</v>
      </c>
      <c r="G23" s="66" t="s">
        <v>99</v>
      </c>
      <c r="H23" s="69" t="s">
        <v>21</v>
      </c>
      <c r="I23" s="63"/>
      <c r="J23" s="72" t="s">
        <v>163</v>
      </c>
      <c r="K23" s="87" t="n">
        <v>3</v>
      </c>
      <c r="L23" s="86" t="f">
        <f>6-K23</f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2"/>
      <c r="AC23" s="64"/>
      <c r="AD23" s="64"/>
    </row>
    <row r="24" s="68" customFormat="1" ht="70.5" customHeight="1">
      <c r="A24" s="61" t="n">
        <v>22</v>
      </c>
      <c r="B24" s="73" t="s">
        <v>164</v>
      </c>
      <c r="C24" s="73" t="s">
        <v>165</v>
      </c>
      <c r="D24" s="88" t="s">
        <v>166</v>
      </c>
      <c r="E24" s="73" t="s">
        <v>98</v>
      </c>
      <c r="F24" s="83" t="n">
        <v>15.010000</v>
      </c>
      <c r="G24" s="66" t="s">
        <v>99</v>
      </c>
      <c r="H24" s="69" t="s">
        <v>35</v>
      </c>
      <c r="I24" s="16"/>
      <c r="J24" s="72" t="s">
        <v>167</v>
      </c>
      <c r="K24" s="87" t="n">
        <v>5</v>
      </c>
      <c r="L24" s="86"/>
      <c r="M24" s="18"/>
      <c r="N24" s="18"/>
      <c r="O24" s="59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9"/>
      <c r="AC24" s="18"/>
      <c r="AD24" s="18"/>
    </row>
    <row r="25" s="68" customFormat="1" ht="70.5" customHeight="1">
      <c r="A25" s="61" t="n">
        <v>23</v>
      </c>
      <c r="B25" s="73" t="s">
        <v>63</v>
      </c>
      <c r="C25" s="73" t="s">
        <v>157</v>
      </c>
      <c r="D25" s="73" t="s">
        <v>168</v>
      </c>
      <c r="E25" s="73" t="s">
        <v>169</v>
      </c>
      <c r="F25" s="83" t="n">
        <v>9.100000</v>
      </c>
      <c r="G25" s="66" t="s">
        <v>99</v>
      </c>
      <c r="H25" s="69" t="s">
        <v>35</v>
      </c>
      <c r="I25" s="16"/>
      <c r="J25" s="72" t="s">
        <v>167</v>
      </c>
      <c r="K25" s="87" t="n">
        <v>3</v>
      </c>
      <c r="L25" s="86"/>
      <c r="M25" s="18"/>
      <c r="N25" s="18"/>
      <c r="O25" s="59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  <c r="AC25" s="18"/>
      <c r="AD25" s="18"/>
    </row>
    <row r="26" s="68" customFormat="1" ht="70.5" customHeight="1">
      <c r="A26" s="61" t="n">
        <v>24</v>
      </c>
      <c r="B26" s="73" t="s">
        <v>170</v>
      </c>
      <c r="C26" s="73" t="s">
        <v>64</v>
      </c>
      <c r="D26" s="73" t="s">
        <v>168</v>
      </c>
      <c r="E26" s="73" t="s">
        <v>171</v>
      </c>
      <c r="F26" s="83" t="n">
        <v>7.070000</v>
      </c>
      <c r="G26" s="66" t="s">
        <v>99</v>
      </c>
      <c r="H26" s="69" t="s">
        <v>35</v>
      </c>
      <c r="I26" s="16"/>
      <c r="J26" s="72"/>
      <c r="K26" s="87" t="n">
        <v>3</v>
      </c>
      <c r="L26" s="86"/>
      <c r="M26" s="18"/>
      <c r="N26" s="18"/>
      <c r="O26" s="59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9"/>
      <c r="AC26" s="18"/>
      <c r="AD26" s="18"/>
    </row>
    <row r="27" s="8" customFormat="1">
      <c r="A27" s="4"/>
      <c r="B27" s="4"/>
      <c r="C27" s="4"/>
      <c r="D27" s="4"/>
      <c r="E27" s="4"/>
      <c r="F27" s="4"/>
      <c r="G27" s="4"/>
      <c r="H27" s="4"/>
      <c r="I27" s="4"/>
      <c r="J27" s="4"/>
      <c r="K27" s="84"/>
      <c r="L27" s="84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="34" customFormat="1" ht="51.75" customHeight="1">
      <c r="A28" s="31" t="s">
        <v>68</v>
      </c>
      <c r="B28" s="22"/>
      <c r="C28" s="22"/>
      <c r="D28" s="22"/>
      <c r="E28" s="22"/>
      <c r="F28" s="22"/>
      <c r="G28" s="22"/>
      <c r="H28" s="22"/>
      <c r="I28" s="22"/>
      <c r="J28" s="22"/>
      <c r="K28" s="32" t="f">
        <f>sum(K3:K26)</f>
      </c>
      <c r="L28" s="86" t="f">
        <f>sum(L3:L26)</f>
      </c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="8" customFormat="1">
      <c r="A29" s="5"/>
      <c r="B29" s="5"/>
      <c r="C29" s="5"/>
      <c r="D29" s="5"/>
      <c r="E29" s="5"/>
      <c r="F29" s="5"/>
      <c r="G29" s="5"/>
      <c r="H29" s="5"/>
      <c r="I29" s="5"/>
      <c r="J29" s="5"/>
      <c r="K29" s="75"/>
      <c r="L29" s="7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="10" customFormat="1" ht="64.5" customHeight="1">
      <c r="A30" s="5"/>
      <c r="B30" s="5"/>
      <c r="C30" s="5"/>
      <c r="D30" s="5"/>
      <c r="E30" s="5"/>
      <c r="F30" s="5"/>
      <c r="G30" s="5"/>
      <c r="H30" s="5"/>
      <c r="I30" s="23" t="s">
        <v>69</v>
      </c>
      <c r="J30" s="21"/>
      <c r="K30" s="24"/>
      <c r="L30" s="24"/>
      <c r="M30" s="2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="10" customFormat="1" ht="64.5" customHeight="1">
      <c r="A31" s="5"/>
      <c r="B31" s="5"/>
      <c r="C31" s="5"/>
      <c r="D31" s="5"/>
      <c r="E31" s="5"/>
      <c r="F31" s="5"/>
      <c r="G31" s="5"/>
      <c r="H31" s="5"/>
      <c r="I31" s="23" t="s">
        <v>70</v>
      </c>
      <c r="J31" s="21"/>
      <c r="K31" s="24"/>
      <c r="L31" s="24"/>
      <c r="M31" s="2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="8" customFormat="1">
      <c r="A32" s="5"/>
      <c r="B32" s="5"/>
      <c r="C32" s="5"/>
      <c r="D32" s="5"/>
      <c r="E32" s="5"/>
      <c r="F32" s="5"/>
      <c r="G32" s="5"/>
      <c r="H32" s="5"/>
      <c r="I32" s="5"/>
      <c r="J32" s="5"/>
      <c r="K32" s="75"/>
      <c r="L32" s="7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="8" customFormat="1">
      <c r="A33" s="5"/>
      <c r="B33" s="5"/>
      <c r="C33" s="5"/>
      <c r="D33" s="5"/>
      <c r="E33" s="5"/>
      <c r="F33" s="5"/>
      <c r="G33" s="5"/>
      <c r="H33" s="5"/>
      <c r="I33" s="5"/>
      <c r="J33" s="5"/>
      <c r="K33" s="75"/>
      <c r="L33" s="7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="8" customFormat="1">
      <c r="A34" s="5"/>
      <c r="B34" s="5"/>
      <c r="C34" s="5"/>
      <c r="D34" s="5"/>
      <c r="E34" s="5"/>
      <c r="F34" s="5"/>
      <c r="G34" s="5"/>
      <c r="H34" s="5"/>
      <c r="I34" s="5"/>
      <c r="J34" s="5"/>
      <c r="K34" s="75"/>
      <c r="L34" s="7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="8" customFormat="1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75"/>
      <c r="L35" s="7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="8" customFormat="1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75"/>
      <c r="L36" s="7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="8" customFormat="1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75"/>
      <c r="L37" s="7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="8" customFormat="1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75"/>
      <c r="L38" s="7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="8" customFormat="1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75"/>
      <c r="L39" s="7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="9" customFormat="1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75"/>
      <c r="L40" s="7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="9" customFormat="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75"/>
      <c r="L41" s="7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</sheetData>
  <mergeCells count="6">
    <mergeCell ref="A1:AD1"/>
    <mergeCell ref="A28:J28"/>
    <mergeCell ref="I30:J30"/>
    <mergeCell ref="K30:M30"/>
    <mergeCell ref="K31:M31"/>
    <mergeCell ref="I31:J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AppVersion>2.326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2026-06-18T12:40:32Z</dcterms:created>
  <dcterms:modified xsi:type="dcterms:W3CDTF">2026-06-18T12:40:32Z</dcterms:modified>
</cp:coreProperties>
</file>